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A4BF483-EB11-4832-A3BE-D52EFD8BC5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5" i="1" l="1"/>
  <c r="V15" i="1"/>
  <c r="W15" i="1"/>
  <c r="U3" i="1"/>
  <c r="V3" i="1"/>
  <c r="W3" i="1"/>
  <c r="U13" i="1"/>
  <c r="V13" i="1"/>
  <c r="W13" i="1"/>
  <c r="U7" i="1"/>
  <c r="V7" i="1"/>
  <c r="W7" i="1"/>
  <c r="U4" i="1"/>
  <c r="V4" i="1"/>
  <c r="W4" i="1"/>
  <c r="U14" i="1"/>
  <c r="V14" i="1"/>
  <c r="W14" i="1"/>
  <c r="U6" i="1"/>
  <c r="V6" i="1"/>
  <c r="W6" i="1"/>
  <c r="U12" i="1"/>
  <c r="V12" i="1"/>
  <c r="W12" i="1"/>
  <c r="U9" i="1"/>
  <c r="V9" i="1"/>
  <c r="W9" i="1"/>
  <c r="U5" i="1"/>
  <c r="V5" i="1"/>
  <c r="W5" i="1"/>
  <c r="U8" i="1"/>
  <c r="V8" i="1"/>
  <c r="W8" i="1"/>
  <c r="U10" i="1"/>
  <c r="V10" i="1"/>
  <c r="W10" i="1"/>
  <c r="U11" i="1"/>
  <c r="V11" i="1"/>
  <c r="W11" i="1"/>
  <c r="U16" i="1"/>
  <c r="V16" i="1"/>
  <c r="W16" i="1"/>
  <c r="W2" i="1"/>
  <c r="V2" i="1"/>
  <c r="U2" i="1"/>
</calcChain>
</file>

<file path=xl/sharedStrings.xml><?xml version="1.0" encoding="utf-8"?>
<sst xmlns="http://schemas.openxmlformats.org/spreadsheetml/2006/main" count="323" uniqueCount="41">
  <si>
    <t>Dashboard</t>
  </si>
  <si>
    <t>Orders</t>
  </si>
  <si>
    <t>Production/Batches</t>
  </si>
  <si>
    <t>QC</t>
  </si>
  <si>
    <t>Inventory</t>
  </si>
  <si>
    <t>Warehouse</t>
  </si>
  <si>
    <t>Shipments</t>
  </si>
  <si>
    <t>CRM</t>
  </si>
  <si>
    <t>POS/Store</t>
  </si>
  <si>
    <t>HR</t>
  </si>
  <si>
    <t>Checklists</t>
  </si>
  <si>
    <t>Marketing</t>
  </si>
  <si>
    <t>Events</t>
  </si>
  <si>
    <t>Sales Channels</t>
  </si>
  <si>
    <t>Finance</t>
  </si>
  <si>
    <t>Settings</t>
  </si>
  <si>
    <t>Users</t>
  </si>
  <si>
    <t>Audit Logs</t>
  </si>
  <si>
    <t>Rules Engine</t>
  </si>
  <si>
    <t>Owner / Super Admin</t>
  </si>
  <si>
    <t>General Manager</t>
  </si>
  <si>
    <t>Production Manager</t>
  </si>
  <si>
    <t>QA / Food Safety Officer</t>
  </si>
  <si>
    <t>Warehouse Lead</t>
  </si>
  <si>
    <t>Packers / Warehouse Staff</t>
  </si>
  <si>
    <t>Logistics Coordinator</t>
  </si>
  <si>
    <t>Procurement / Buyer</t>
  </si>
  <si>
    <t>Customer Support</t>
  </si>
  <si>
    <t>Marketing Manager</t>
  </si>
  <si>
    <t>Finance / Accountant</t>
  </si>
  <si>
    <t>HR / People Ops</t>
  </si>
  <si>
    <t>Store Manager</t>
  </si>
  <si>
    <t>POS Operator</t>
  </si>
  <si>
    <t>Yes</t>
  </si>
  <si>
    <t>Partial</t>
  </si>
  <si>
    <t>No</t>
  </si>
  <si>
    <t>Complete Access</t>
  </si>
  <si>
    <t>Partial Access</t>
  </si>
  <si>
    <t>No Access</t>
  </si>
  <si>
    <t>Column1</t>
  </si>
  <si>
    <t>Kitchen Assistant/Cooks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</si>
</sst>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4" xfId="0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double">
          <color auto="1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double">
          <color auto="1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49614-5C1A-4631-BA25-91E0D933B13F}" name="Table1" displayName="Table1" ref="A1:W16" totalsRowShown="0" tableBorderDxfId="5">
  <autoFilter ref="A1:W16" xr:uid="{E4C49614-5C1A-4631-BA25-91E0D933B13F}"/>
  <sortState xmlns:xlrd2="http://schemas.microsoft.com/office/spreadsheetml/2017/richdata2" ref="A2:W16">
    <sortCondition descending="1" ref="U1:U16"/>
  </sortState>
  <tableColumns count="23">
    <tableColumn id="1" xr3:uid="{A78A409F-86C3-4AE7-BFFD-2B7777BCFBA7}" name="Column1" dataDxfId="4"/>
    <tableColumn id="2" xr3:uid="{CDCE1099-2601-46DF-89B6-F2933666CC39}" name="Dashboard"/>
    <tableColumn id="3" xr3:uid="{9D9C8141-2A82-4D9A-A288-00EB24B2819B}" name="Orders"/>
    <tableColumn id="4" xr3:uid="{12FCE75E-2F87-44E6-8DAF-04269CBBC28C}" name="Production/Batches"/>
    <tableColumn id="5" xr3:uid="{6F032732-A866-496F-896A-0C020382CB02}" name="QC"/>
    <tableColumn id="6" xr3:uid="{ED226AD9-20BC-4BEC-9F00-CBBD5291DD01}" name="Inventory"/>
    <tableColumn id="7" xr3:uid="{6A0A13A5-C7CC-4358-BEA1-9B7C416A9614}" name="Warehouse"/>
    <tableColumn id="8" xr3:uid="{8F4A26EA-5B5E-46DC-8946-0A68C2AD121E}" name="Shipments"/>
    <tableColumn id="9" xr3:uid="{FDF723F8-7D00-4664-BAE2-3417B836AC85}" name="CRM"/>
    <tableColumn id="10" xr3:uid="{7EBCF69B-ECA3-43E7-A611-EA631ECE1DE1}" name="POS/Store"/>
    <tableColumn id="11" xr3:uid="{4631DD49-1AAC-45ED-A694-FD4E26AEF30B}" name="HR"/>
    <tableColumn id="12" xr3:uid="{C303BF1D-2C49-4914-9E58-CC66CCC9F709}" name="Checklists"/>
    <tableColumn id="13" xr3:uid="{992930A8-4883-48EB-8FCE-385127BDF474}" name="Marketing"/>
    <tableColumn id="14" xr3:uid="{8E8B689D-7729-41EE-85F6-F3FF2462E0B7}" name="Events"/>
    <tableColumn id="15" xr3:uid="{208BD53D-CC2F-4D69-8C8D-F1CB63F244E2}" name="Sales Channels"/>
    <tableColumn id="16" xr3:uid="{47D1B99E-749B-4B89-BDBC-3AB5DC911C13}" name="Finance"/>
    <tableColumn id="17" xr3:uid="{673E027E-83FE-469E-B1AA-B29910F72F40}" name="Settings"/>
    <tableColumn id="18" xr3:uid="{2A5355D1-BB66-4289-AEC5-B7BC0C15F85F}" name="Users"/>
    <tableColumn id="19" xr3:uid="{C7AB8E93-B752-44B0-9B39-9985C95D8223}" name="Audit Logs"/>
    <tableColumn id="20" xr3:uid="{4D1241FF-CFC7-47A6-8160-2DBA253D7C48}" name="Rules Engine"/>
    <tableColumn id="21" xr3:uid="{62767006-4E5C-45B8-996D-0224E0B097F1}" name="Complete Access" dataDxfId="3">
      <calculatedColumnFormula>COUNTIF(B2:T2, "Yes")</calculatedColumnFormula>
    </tableColumn>
    <tableColumn id="22" xr3:uid="{B4790004-4B8E-422D-9A1C-251051EA0D18}" name="Partial Access">
      <calculatedColumnFormula>COUNTIF(B2:T2, "Partial")</calculatedColumnFormula>
    </tableColumn>
    <tableColumn id="23" xr3:uid="{FD4037A2-EE54-4228-B5F8-AFC6A5E4ADBD}" name="No Access">
      <calculatedColumnFormula>COUNTIF(B2:T2, "No")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zoomScale="72" workbookViewId="0">
      <selection activeCell="N30" sqref="N30"/>
    </sheetView>
  </sheetViews>
  <sheetFormatPr defaultRowHeight="14.4" x14ac:dyDescent="0.3"/>
  <cols>
    <col min="1" max="1" width="23.5546875" bestFit="1" customWidth="1"/>
    <col min="2" max="2" width="14.5546875" bestFit="1" customWidth="1"/>
    <col min="3" max="3" width="11" bestFit="1" customWidth="1"/>
    <col min="4" max="4" width="22.44140625" bestFit="1" customWidth="1"/>
    <col min="5" max="5" width="7.88671875" bestFit="1" customWidth="1"/>
    <col min="6" max="6" width="13.6640625" bestFit="1" customWidth="1"/>
    <col min="7" max="7" width="15" bestFit="1" customWidth="1"/>
    <col min="8" max="8" width="14.33203125" bestFit="1" customWidth="1"/>
    <col min="9" max="9" width="9.44140625" bestFit="1" customWidth="1"/>
    <col min="10" max="10" width="14.21875" bestFit="1" customWidth="1"/>
    <col min="11" max="11" width="7.77734375" bestFit="1" customWidth="1"/>
    <col min="12" max="12" width="13.6640625" bestFit="1" customWidth="1"/>
    <col min="13" max="13" width="14.109375" bestFit="1" customWidth="1"/>
    <col min="14" max="14" width="11" bestFit="1" customWidth="1"/>
    <col min="15" max="15" width="17.88671875" bestFit="1" customWidth="1"/>
    <col min="16" max="16" width="11.88671875" bestFit="1" customWidth="1"/>
    <col min="17" max="17" width="12.109375" bestFit="1" customWidth="1"/>
    <col min="18" max="18" width="10" bestFit="1" customWidth="1"/>
    <col min="19" max="19" width="14.21875" bestFit="1" customWidth="1"/>
    <col min="20" max="20" width="16" bestFit="1" customWidth="1"/>
    <col min="21" max="21" width="19.6640625" bestFit="1" customWidth="1"/>
    <col min="22" max="22" width="16.77734375" bestFit="1" customWidth="1"/>
    <col min="23" max="23" width="13.88671875" bestFit="1" customWidth="1"/>
  </cols>
  <sheetData>
    <row r="1" spans="1:23" ht="15" thickTop="1" x14ac:dyDescent="0.3">
      <c r="A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4" t="s">
        <v>36</v>
      </c>
      <c r="V1" s="5" t="s">
        <v>37</v>
      </c>
      <c r="W1" s="8" t="s">
        <v>38</v>
      </c>
    </row>
    <row r="2" spans="1:23" x14ac:dyDescent="0.3">
      <c r="A2" s="1" t="s">
        <v>19</v>
      </c>
      <c r="B2" t="s">
        <v>33</v>
      </c>
      <c r="C2" t="s">
        <v>33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s="3">
        <f t="shared" ref="U2:U16" si="0">COUNTIF(B2:T2, "Yes")</f>
        <v>19</v>
      </c>
      <c r="V2">
        <f t="shared" ref="V2:V16" si="1">COUNTIF(B2:T2, "Partial")</f>
        <v>0</v>
      </c>
      <c r="W2">
        <f t="shared" ref="W2:W16" si="2">COUNTIF(B2:T2, "No")</f>
        <v>0</v>
      </c>
    </row>
    <row r="3" spans="1:23" x14ac:dyDescent="0.3">
      <c r="A3" s="1" t="s">
        <v>20</v>
      </c>
      <c r="B3" t="s">
        <v>33</v>
      </c>
      <c r="C3" t="s">
        <v>33</v>
      </c>
      <c r="D3" t="s">
        <v>33</v>
      </c>
      <c r="E3" t="s">
        <v>34</v>
      </c>
      <c r="F3" t="s">
        <v>33</v>
      </c>
      <c r="G3" t="s">
        <v>33</v>
      </c>
      <c r="H3" t="s">
        <v>33</v>
      </c>
      <c r="I3" t="s">
        <v>33</v>
      </c>
      <c r="J3" t="s">
        <v>34</v>
      </c>
      <c r="K3" t="s">
        <v>34</v>
      </c>
      <c r="L3" t="s">
        <v>33</v>
      </c>
      <c r="M3" t="s">
        <v>33</v>
      </c>
      <c r="N3" t="s">
        <v>33</v>
      </c>
      <c r="O3" t="s">
        <v>33</v>
      </c>
      <c r="P3" t="s">
        <v>34</v>
      </c>
      <c r="Q3" t="s">
        <v>34</v>
      </c>
      <c r="R3" t="s">
        <v>35</v>
      </c>
      <c r="S3" t="s">
        <v>34</v>
      </c>
      <c r="T3" t="s">
        <v>34</v>
      </c>
      <c r="U3" s="3">
        <f t="shared" si="0"/>
        <v>11</v>
      </c>
      <c r="V3">
        <f t="shared" si="1"/>
        <v>7</v>
      </c>
      <c r="W3">
        <f t="shared" si="2"/>
        <v>1</v>
      </c>
    </row>
    <row r="4" spans="1:23" x14ac:dyDescent="0.3">
      <c r="A4" s="1" t="s">
        <v>23</v>
      </c>
      <c r="B4" t="s">
        <v>33</v>
      </c>
      <c r="C4" t="s">
        <v>33</v>
      </c>
      <c r="D4" t="s">
        <v>34</v>
      </c>
      <c r="E4" t="s">
        <v>35</v>
      </c>
      <c r="F4" t="s">
        <v>33</v>
      </c>
      <c r="G4" t="s">
        <v>33</v>
      </c>
      <c r="H4" t="s">
        <v>33</v>
      </c>
      <c r="I4" t="s">
        <v>35</v>
      </c>
      <c r="J4" t="s">
        <v>35</v>
      </c>
      <c r="K4" t="s">
        <v>34</v>
      </c>
      <c r="L4" t="s">
        <v>33</v>
      </c>
      <c r="M4" t="s">
        <v>35</v>
      </c>
      <c r="N4" t="s">
        <v>35</v>
      </c>
      <c r="O4" t="s">
        <v>34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s="3">
        <f t="shared" si="0"/>
        <v>6</v>
      </c>
      <c r="V4">
        <f t="shared" si="1"/>
        <v>3</v>
      </c>
      <c r="W4">
        <f t="shared" si="2"/>
        <v>10</v>
      </c>
    </row>
    <row r="5" spans="1:23" x14ac:dyDescent="0.3">
      <c r="A5" s="1" t="s">
        <v>28</v>
      </c>
      <c r="B5" t="s">
        <v>33</v>
      </c>
      <c r="C5" t="s">
        <v>34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33</v>
      </c>
      <c r="J5" t="s">
        <v>35</v>
      </c>
      <c r="K5" t="s">
        <v>35</v>
      </c>
      <c r="L5" t="s">
        <v>33</v>
      </c>
      <c r="M5" t="s">
        <v>33</v>
      </c>
      <c r="N5" t="s">
        <v>33</v>
      </c>
      <c r="O5" t="s">
        <v>34</v>
      </c>
      <c r="P5" t="s">
        <v>34</v>
      </c>
      <c r="Q5" t="s">
        <v>35</v>
      </c>
      <c r="R5" t="s">
        <v>35</v>
      </c>
      <c r="S5" t="s">
        <v>35</v>
      </c>
      <c r="T5" t="s">
        <v>35</v>
      </c>
      <c r="U5" s="3">
        <f t="shared" si="0"/>
        <v>5</v>
      </c>
      <c r="V5">
        <f t="shared" si="1"/>
        <v>3</v>
      </c>
      <c r="W5">
        <f t="shared" si="2"/>
        <v>11</v>
      </c>
    </row>
    <row r="6" spans="1:23" x14ac:dyDescent="0.3">
      <c r="A6" s="1" t="s">
        <v>25</v>
      </c>
      <c r="B6" t="s">
        <v>33</v>
      </c>
      <c r="C6" t="s">
        <v>33</v>
      </c>
      <c r="D6" t="s">
        <v>34</v>
      </c>
      <c r="E6" t="s">
        <v>35</v>
      </c>
      <c r="F6" t="s">
        <v>34</v>
      </c>
      <c r="G6" t="s">
        <v>33</v>
      </c>
      <c r="H6" t="s">
        <v>33</v>
      </c>
      <c r="I6" t="s">
        <v>35</v>
      </c>
      <c r="J6" t="s">
        <v>35</v>
      </c>
      <c r="K6" t="s">
        <v>35</v>
      </c>
      <c r="L6" t="s">
        <v>33</v>
      </c>
      <c r="M6" t="s">
        <v>35</v>
      </c>
      <c r="N6" t="s">
        <v>35</v>
      </c>
      <c r="O6" t="s">
        <v>34</v>
      </c>
      <c r="P6" t="s">
        <v>34</v>
      </c>
      <c r="Q6" t="s">
        <v>35</v>
      </c>
      <c r="R6" t="s">
        <v>35</v>
      </c>
      <c r="S6" t="s">
        <v>35</v>
      </c>
      <c r="T6" t="s">
        <v>35</v>
      </c>
      <c r="U6" s="3">
        <f t="shared" si="0"/>
        <v>5</v>
      </c>
      <c r="V6">
        <f t="shared" si="1"/>
        <v>4</v>
      </c>
      <c r="W6">
        <f t="shared" si="2"/>
        <v>10</v>
      </c>
    </row>
    <row r="7" spans="1:23" x14ac:dyDescent="0.3">
      <c r="A7" s="1" t="s">
        <v>22</v>
      </c>
      <c r="B7" t="s">
        <v>33</v>
      </c>
      <c r="C7" t="s">
        <v>34</v>
      </c>
      <c r="D7" t="s">
        <v>33</v>
      </c>
      <c r="E7" t="s">
        <v>33</v>
      </c>
      <c r="F7" t="s">
        <v>34</v>
      </c>
      <c r="G7" t="s">
        <v>35</v>
      </c>
      <c r="H7" t="s">
        <v>35</v>
      </c>
      <c r="I7" t="s">
        <v>35</v>
      </c>
      <c r="J7" t="s">
        <v>35</v>
      </c>
      <c r="K7" t="s">
        <v>34</v>
      </c>
      <c r="L7" t="s">
        <v>33</v>
      </c>
      <c r="M7" t="s">
        <v>35</v>
      </c>
      <c r="N7" t="s">
        <v>35</v>
      </c>
      <c r="O7" t="s">
        <v>35</v>
      </c>
      <c r="P7" t="s">
        <v>35</v>
      </c>
      <c r="Q7" t="s">
        <v>34</v>
      </c>
      <c r="R7" t="s">
        <v>35</v>
      </c>
      <c r="S7" t="s">
        <v>34</v>
      </c>
      <c r="T7" t="s">
        <v>33</v>
      </c>
      <c r="U7" s="3">
        <f t="shared" si="0"/>
        <v>5</v>
      </c>
      <c r="V7">
        <f t="shared" si="1"/>
        <v>5</v>
      </c>
      <c r="W7">
        <f t="shared" si="2"/>
        <v>9</v>
      </c>
    </row>
    <row r="8" spans="1:23" x14ac:dyDescent="0.3">
      <c r="A8" s="1" t="s">
        <v>29</v>
      </c>
      <c r="B8" t="s">
        <v>33</v>
      </c>
      <c r="C8" t="s">
        <v>34</v>
      </c>
      <c r="D8" t="s">
        <v>35</v>
      </c>
      <c r="E8" t="s">
        <v>35</v>
      </c>
      <c r="F8" t="s">
        <v>34</v>
      </c>
      <c r="G8" t="s">
        <v>35</v>
      </c>
      <c r="H8" t="s">
        <v>34</v>
      </c>
      <c r="I8" t="s">
        <v>35</v>
      </c>
      <c r="J8" t="s">
        <v>35</v>
      </c>
      <c r="K8" t="s">
        <v>34</v>
      </c>
      <c r="L8" t="s">
        <v>33</v>
      </c>
      <c r="M8" t="s">
        <v>35</v>
      </c>
      <c r="N8" t="s">
        <v>35</v>
      </c>
      <c r="O8" t="s">
        <v>33</v>
      </c>
      <c r="P8" t="s">
        <v>33</v>
      </c>
      <c r="Q8" t="s">
        <v>34</v>
      </c>
      <c r="R8" t="s">
        <v>35</v>
      </c>
      <c r="S8" t="s">
        <v>33</v>
      </c>
      <c r="T8" t="s">
        <v>35</v>
      </c>
      <c r="U8" s="3">
        <f t="shared" si="0"/>
        <v>5</v>
      </c>
      <c r="V8">
        <f t="shared" si="1"/>
        <v>5</v>
      </c>
      <c r="W8">
        <f t="shared" si="2"/>
        <v>9</v>
      </c>
    </row>
    <row r="9" spans="1:23" x14ac:dyDescent="0.3">
      <c r="A9" s="1" t="s">
        <v>27</v>
      </c>
      <c r="B9" t="s">
        <v>33</v>
      </c>
      <c r="C9" t="s">
        <v>33</v>
      </c>
      <c r="D9" t="s">
        <v>35</v>
      </c>
      <c r="E9" t="s">
        <v>35</v>
      </c>
      <c r="F9" t="s">
        <v>34</v>
      </c>
      <c r="G9" t="s">
        <v>34</v>
      </c>
      <c r="H9" t="s">
        <v>34</v>
      </c>
      <c r="I9" t="s">
        <v>33</v>
      </c>
      <c r="J9" t="s">
        <v>35</v>
      </c>
      <c r="K9" t="s">
        <v>35</v>
      </c>
      <c r="L9" t="s">
        <v>33</v>
      </c>
      <c r="M9" t="s">
        <v>35</v>
      </c>
      <c r="N9" t="s">
        <v>35</v>
      </c>
      <c r="O9" t="s">
        <v>34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s="3">
        <f t="shared" si="0"/>
        <v>4</v>
      </c>
      <c r="V9">
        <f t="shared" si="1"/>
        <v>4</v>
      </c>
      <c r="W9">
        <f t="shared" si="2"/>
        <v>11</v>
      </c>
    </row>
    <row r="10" spans="1:23" x14ac:dyDescent="0.3">
      <c r="A10" s="1" t="s">
        <v>30</v>
      </c>
      <c r="B10" t="s">
        <v>33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33</v>
      </c>
      <c r="L10" t="s">
        <v>33</v>
      </c>
      <c r="M10" t="s">
        <v>35</v>
      </c>
      <c r="N10" t="s">
        <v>35</v>
      </c>
      <c r="O10" t="s">
        <v>35</v>
      </c>
      <c r="P10" t="s">
        <v>34</v>
      </c>
      <c r="Q10" t="s">
        <v>34</v>
      </c>
      <c r="R10" t="s">
        <v>33</v>
      </c>
      <c r="S10" t="s">
        <v>34</v>
      </c>
      <c r="T10" t="s">
        <v>34</v>
      </c>
      <c r="U10" s="3">
        <f t="shared" si="0"/>
        <v>4</v>
      </c>
      <c r="V10">
        <f t="shared" si="1"/>
        <v>4</v>
      </c>
      <c r="W10">
        <f t="shared" si="2"/>
        <v>11</v>
      </c>
    </row>
    <row r="11" spans="1:23" x14ac:dyDescent="0.3">
      <c r="A11" s="1" t="s">
        <v>31</v>
      </c>
      <c r="B11" t="s">
        <v>33</v>
      </c>
      <c r="C11" t="s">
        <v>34</v>
      </c>
      <c r="D11" t="s">
        <v>35</v>
      </c>
      <c r="E11" t="s">
        <v>35</v>
      </c>
      <c r="F11" t="s">
        <v>34</v>
      </c>
      <c r="G11" t="s">
        <v>35</v>
      </c>
      <c r="H11" t="s">
        <v>35</v>
      </c>
      <c r="I11" t="s">
        <v>33</v>
      </c>
      <c r="J11" t="s">
        <v>33</v>
      </c>
      <c r="K11" t="s">
        <v>34</v>
      </c>
      <c r="L11" t="s">
        <v>33</v>
      </c>
      <c r="M11" t="s">
        <v>34</v>
      </c>
      <c r="N11" t="s">
        <v>34</v>
      </c>
      <c r="O11" t="s">
        <v>35</v>
      </c>
      <c r="P11" t="s">
        <v>34</v>
      </c>
      <c r="Q11" t="s">
        <v>35</v>
      </c>
      <c r="R11" t="s">
        <v>35</v>
      </c>
      <c r="S11" t="s">
        <v>35</v>
      </c>
      <c r="T11" t="s">
        <v>35</v>
      </c>
      <c r="U11" s="3">
        <f t="shared" si="0"/>
        <v>4</v>
      </c>
      <c r="V11">
        <f t="shared" si="1"/>
        <v>6</v>
      </c>
      <c r="W11">
        <f t="shared" si="2"/>
        <v>9</v>
      </c>
    </row>
    <row r="12" spans="1:23" x14ac:dyDescent="0.3">
      <c r="A12" s="1" t="s">
        <v>26</v>
      </c>
      <c r="B12" t="s">
        <v>33</v>
      </c>
      <c r="C12" t="s">
        <v>35</v>
      </c>
      <c r="D12" t="s">
        <v>34</v>
      </c>
      <c r="E12" t="s">
        <v>35</v>
      </c>
      <c r="F12" t="s">
        <v>33</v>
      </c>
      <c r="G12" t="s">
        <v>34</v>
      </c>
      <c r="H12" t="s">
        <v>35</v>
      </c>
      <c r="I12" t="s">
        <v>35</v>
      </c>
      <c r="J12" t="s">
        <v>35</v>
      </c>
      <c r="K12" t="s">
        <v>35</v>
      </c>
      <c r="L12" t="s">
        <v>33</v>
      </c>
      <c r="M12" t="s">
        <v>35</v>
      </c>
      <c r="N12" t="s">
        <v>35</v>
      </c>
      <c r="O12" t="s">
        <v>35</v>
      </c>
      <c r="P12" t="s">
        <v>34</v>
      </c>
      <c r="Q12" t="s">
        <v>35</v>
      </c>
      <c r="R12" t="s">
        <v>35</v>
      </c>
      <c r="S12" t="s">
        <v>35</v>
      </c>
      <c r="T12" t="s">
        <v>35</v>
      </c>
      <c r="U12" s="3">
        <f t="shared" si="0"/>
        <v>3</v>
      </c>
      <c r="V12">
        <f t="shared" si="1"/>
        <v>3</v>
      </c>
      <c r="W12">
        <f t="shared" si="2"/>
        <v>13</v>
      </c>
    </row>
    <row r="13" spans="1:23" x14ac:dyDescent="0.3">
      <c r="A13" s="1" t="s">
        <v>21</v>
      </c>
      <c r="B13" t="s">
        <v>33</v>
      </c>
      <c r="C13" t="s">
        <v>34</v>
      </c>
      <c r="D13" t="s">
        <v>33</v>
      </c>
      <c r="E13" t="s">
        <v>34</v>
      </c>
      <c r="F13" t="s">
        <v>34</v>
      </c>
      <c r="G13" t="s">
        <v>35</v>
      </c>
      <c r="H13" t="s">
        <v>35</v>
      </c>
      <c r="I13" t="s">
        <v>35</v>
      </c>
      <c r="J13" t="s">
        <v>35</v>
      </c>
      <c r="K13" t="s">
        <v>34</v>
      </c>
      <c r="L13" t="s">
        <v>33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34</v>
      </c>
      <c r="T13" t="s">
        <v>35</v>
      </c>
      <c r="U13" s="3">
        <f t="shared" si="0"/>
        <v>3</v>
      </c>
      <c r="V13">
        <f t="shared" si="1"/>
        <v>5</v>
      </c>
      <c r="W13">
        <f t="shared" si="2"/>
        <v>11</v>
      </c>
    </row>
    <row r="14" spans="1:23" x14ac:dyDescent="0.3">
      <c r="A14" s="1" t="s">
        <v>24</v>
      </c>
      <c r="B14" t="s">
        <v>34</v>
      </c>
      <c r="C14" t="s">
        <v>33</v>
      </c>
      <c r="D14" t="s">
        <v>34</v>
      </c>
      <c r="E14" t="s">
        <v>35</v>
      </c>
      <c r="F14" t="s">
        <v>34</v>
      </c>
      <c r="G14" t="s">
        <v>33</v>
      </c>
      <c r="H14" t="s">
        <v>34</v>
      </c>
      <c r="I14" t="s">
        <v>35</v>
      </c>
      <c r="J14" t="s">
        <v>35</v>
      </c>
      <c r="K14" t="s">
        <v>34</v>
      </c>
      <c r="L14" t="s">
        <v>33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s="3">
        <f t="shared" si="0"/>
        <v>3</v>
      </c>
      <c r="V14">
        <f t="shared" si="1"/>
        <v>5</v>
      </c>
      <c r="W14">
        <f t="shared" si="2"/>
        <v>11</v>
      </c>
    </row>
    <row r="15" spans="1:23" x14ac:dyDescent="0.3">
      <c r="A15" s="1" t="s">
        <v>40</v>
      </c>
      <c r="B15" t="s">
        <v>33</v>
      </c>
      <c r="C15" t="s">
        <v>34</v>
      </c>
      <c r="D15" t="s">
        <v>33</v>
      </c>
      <c r="E15" t="s">
        <v>34</v>
      </c>
      <c r="F15" t="s">
        <v>34</v>
      </c>
      <c r="G15" t="s">
        <v>34</v>
      </c>
      <c r="H15" t="s">
        <v>35</v>
      </c>
      <c r="I15" t="s">
        <v>35</v>
      </c>
      <c r="J15" t="s">
        <v>35</v>
      </c>
      <c r="K15" t="s">
        <v>34</v>
      </c>
      <c r="L15" t="s">
        <v>33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s="3">
        <f t="shared" si="0"/>
        <v>3</v>
      </c>
      <c r="V15">
        <f t="shared" si="1"/>
        <v>5</v>
      </c>
      <c r="W15">
        <f t="shared" si="2"/>
        <v>11</v>
      </c>
    </row>
    <row r="16" spans="1:23" ht="15" thickBot="1" x14ac:dyDescent="0.35">
      <c r="A16" s="9" t="s">
        <v>32</v>
      </c>
      <c r="B16" t="s">
        <v>34</v>
      </c>
      <c r="C16" t="s">
        <v>34</v>
      </c>
      <c r="D16" t="s">
        <v>35</v>
      </c>
      <c r="E16" t="s">
        <v>35</v>
      </c>
      <c r="F16" t="s">
        <v>34</v>
      </c>
      <c r="G16" t="s">
        <v>35</v>
      </c>
      <c r="H16" t="s">
        <v>35</v>
      </c>
      <c r="I16" t="s">
        <v>34</v>
      </c>
      <c r="J16" t="s">
        <v>33</v>
      </c>
      <c r="K16" t="s">
        <v>34</v>
      </c>
      <c r="L16" t="s">
        <v>33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s="6">
        <f t="shared" si="0"/>
        <v>2</v>
      </c>
      <c r="V16" s="7">
        <f t="shared" si="1"/>
        <v>5</v>
      </c>
      <c r="W16" s="7">
        <f t="shared" si="2"/>
        <v>12</v>
      </c>
    </row>
    <row r="17" ht="15" thickTop="1" x14ac:dyDescent="0.3"/>
  </sheetData>
  <conditionalFormatting sqref="B2:T16">
    <cfRule type="cellIs" dxfId="2" priority="1" operator="equal">
      <formula>"No"</formula>
    </cfRule>
    <cfRule type="cellIs" dxfId="1" priority="2" operator="equal">
      <formula>"Partial"</formula>
    </cfRule>
    <cfRule type="cellIs" dxfId="0" priority="3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Yousuf Salman</cp:lastModifiedBy>
  <dcterms:created xsi:type="dcterms:W3CDTF">2025-11-22T08:31:50Z</dcterms:created>
  <dcterms:modified xsi:type="dcterms:W3CDTF">2025-11-22T09:22:52Z</dcterms:modified>
</cp:coreProperties>
</file>